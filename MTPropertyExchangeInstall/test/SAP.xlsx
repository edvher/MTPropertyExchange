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120" windowWidth="18105" windowHeight="11640"/>
  </bookViews>
  <sheets>
    <sheet name="PLM_Coversheet" sheetId="4" r:id="rId1"/>
    <sheet name="Sheet1" sheetId="1" r:id="rId2"/>
  </sheets>
  <definedNames>
    <definedName name="_xlnm.Print_Area" localSheetId="0">PLM_Coversheet!$A$1:$AC$47</definedName>
    <definedName name="SAP_ApprovedBy">PLM_Coversheet!$X$30</definedName>
    <definedName name="SAP_ApprovedOn">PLM_Coversheet!$Q$30</definedName>
    <definedName name="SAP_Area">PLM_Coversheet!$A$31</definedName>
    <definedName name="SAP_CheckedBy">PLM_Coversheet!$X$29</definedName>
    <definedName name="SAP_CheckedOn">PLM_Coversheet!$Q$29</definedName>
    <definedName name="SAP_ConsortialPartner">PLM_Coversheet!$P$38</definedName>
    <definedName name="SAP_ConsortialPartnerNo">PLM_Coversheet!$P$39</definedName>
    <definedName name="SAP_ContractItemNo">PLM_Coversheet!$E$26</definedName>
    <definedName name="SAP_CountNo">PLM_Coversheet!$A$43</definedName>
    <definedName name="SAP_CreatedBy">PLM_Coversheet!$X$28</definedName>
    <definedName name="SAP_CreatedOn">PLM_Coversheet!$Q$28</definedName>
    <definedName name="SAP_Customer">PLM_Coversheet!$D$2</definedName>
    <definedName name="SAP_CustomerDrawingNo">PLM_Coversheet!$P$43</definedName>
    <definedName name="SAP_CustomerProjectDescription">PLM_Coversheet!$D$3</definedName>
    <definedName name="SAP_CustomerRevisionNo">PLM_Coversheet!$A$24</definedName>
    <definedName name="SAP_DepartmentDescription">PLM_Coversheet!$J$3</definedName>
    <definedName name="SAP_DocType">PLM_Coversheet!$A$41</definedName>
    <definedName name="SAP_DocumentLanguage">PLM_Coversheet!$M$33</definedName>
    <definedName name="SAP_DocumentNo">PLM_Coversheet!$C$47</definedName>
    <definedName name="SAP_DocumentTypeText">PLM_Coversheet!$D$41</definedName>
    <definedName name="SAP_DocumentTypeTextPL">PLM_Coversheet!$D$42</definedName>
    <definedName name="SAP_EngineeringPackage">PLM_Coversheet!$S$31</definedName>
    <definedName name="SAP_EngPackText">PLM_Coversheet!$D$5</definedName>
    <definedName name="SAP_Equipment">PLM_Coversheet!$A$33</definedName>
    <definedName name="SAP_Mandator">PLM_Coversheet!$C$26</definedName>
    <definedName name="SAP_MassUnit">PLM_Coversheet!$AB$35</definedName>
    <definedName name="SAP_Material">PLM_Coversheet!$P$34</definedName>
    <definedName name="SAP_NoOfSheets">PLM_Coversheet!$AB$33</definedName>
    <definedName name="SAP_PartNo">PLM_Coversheet!$A$39</definedName>
    <definedName name="SAP_PlantCode">PLM_Coversheet!$A$29</definedName>
    <definedName name="SAP_ProjectCode">PLM_Coversheet!$A$27</definedName>
    <definedName name="SAP_projectDepartment">PLM_Coversheet!$J$4</definedName>
    <definedName name="SAP_ProjectProperty1">PLM_Coversheet!$M$31</definedName>
    <definedName name="SAP_ProjectProperty7">PLM_Coversheet!$P$42</definedName>
    <definedName name="SAP_ProjectProperty8">PLM_Coversheet!$P$44</definedName>
    <definedName name="SAP_ProjectProperty9">PLM_Coversheet!$P$45</definedName>
    <definedName name="SAP_RevisedBy">PLM_Coversheet!$O$24</definedName>
    <definedName name="SAP_RevisedOn">PLM_Coversheet!$L$24</definedName>
    <definedName name="SAP_RevisionApprovedBy">PLM_Coversheet!$X$24</definedName>
    <definedName name="SAP_RevisionDescription">PLM_Coversheet!$C$24</definedName>
    <definedName name="SAP_Scale1">PLM_Coversheet!$O$36</definedName>
    <definedName name="SAP_Scale2">PLM_Coversheet!$Y$36</definedName>
    <definedName name="SAP_SecLevText">PLM_Coversheet!$F$1</definedName>
    <definedName name="SAP_SectionNo">PLM_Coversheet!#REF!</definedName>
    <definedName name="SAP_SectionText">PLM_Coversheet!#REF!</definedName>
    <definedName name="SAP_SectionTextPL">PLM_Coversheet!#REF!</definedName>
    <definedName name="SAP_SecurityLevel">PLM_Coversheet!$AB$31</definedName>
    <definedName name="SAP_SheetFormat">PLM_Coversheet!$P$33</definedName>
    <definedName name="SAP_SheetNo">PLM_Coversheet!$W$33</definedName>
    <definedName name="SAP_Status">PLM_Coversheet!$N$1</definedName>
    <definedName name="SAP_SubGroup">PLM_Coversheet!$A$35</definedName>
    <definedName name="SAP_Supplier">PLM_Coversheet!$P$40</definedName>
    <definedName name="SAP_SupplierDocNo">PLM_Coversheet!$P$41</definedName>
    <definedName name="SAP_SupplyGroup">PLM_Coversheet!$A$37</definedName>
    <definedName name="SAP_SupplyGroupText">PLM_Coversheet!$D$37</definedName>
    <definedName name="SAP_SupplyGroupTextPL">PLM_Coversheet!$D$38</definedName>
    <definedName name="SAP_Title1">PLM_Coversheet!$D$27</definedName>
    <definedName name="SAP_Title1PL">PLM_Coversheet!$D$28</definedName>
    <definedName name="SAP_Title2">PLM_Coversheet!$D$29</definedName>
    <definedName name="SAP_Title2PL">PLM_Coversheet!$D$30</definedName>
    <definedName name="SAP_Title3">PLM_Coversheet!$D$31</definedName>
    <definedName name="SAP_Title3PL">PLM_Coversheet!$D$32</definedName>
    <definedName name="SAP_Title4">PLM_Coversheet!$D$33</definedName>
    <definedName name="SAP_Title4a">PLM_Coversheet!$D$35</definedName>
    <definedName name="SAP_Title4aPL">PLM_Coversheet!$D$36</definedName>
    <definedName name="SAP_Title4b">PLM_Coversheet!$D$39</definedName>
    <definedName name="SAP_Title4bPL">PLM_Coversheet!$D$40</definedName>
    <definedName name="SAP_Title4PL">PLM_Coversheet!$D$34</definedName>
    <definedName name="SAP_Title5">PLM_Coversheet!$D$44</definedName>
    <definedName name="SAP_Title5PL">PLM_Coversheet!$D$45</definedName>
    <definedName name="SAP_vaiCompany">PLM_Coversheet!$J$2</definedName>
    <definedName name="SAP_VolumeNo">PLM_Coversheet!#REF!</definedName>
    <definedName name="SAP_VolumeText">PLM_Coversheet!#REF!</definedName>
    <definedName name="SAP_VolumeTextPL">PLM_Coversheet!#REF!</definedName>
    <definedName name="SAPTemp_RevisionNo">PLM_Coversheet!$S$47</definedName>
    <definedName name="SAPTemp_Title1">PLM_Coversheet!$D$4</definedName>
    <definedName name="SAPWrite_Mass">PLM_Coversheet!$P$35</definedName>
  </definedNames>
  <calcPr calcId="114210"/>
</workbook>
</file>

<file path=xl/calcChain.xml><?xml version="1.0" encoding="utf-8"?>
<calcChain xmlns="http://schemas.openxmlformats.org/spreadsheetml/2006/main">
  <c r="S47" i="4"/>
  <c r="D4"/>
  <c r="A7"/>
  <c r="A8"/>
  <c r="A10"/>
  <c r="A11"/>
  <c r="A13"/>
  <c r="A14"/>
  <c r="A16"/>
  <c r="A17"/>
  <c r="A19"/>
  <c r="A20"/>
</calcChain>
</file>

<file path=xl/sharedStrings.xml><?xml version="1.0" encoding="utf-8"?>
<sst xmlns="http://schemas.openxmlformats.org/spreadsheetml/2006/main" count="125" uniqueCount="76">
  <si>
    <t>Confidential</t>
  </si>
  <si>
    <t>VAI Internal only</t>
  </si>
  <si>
    <t>Draft</t>
  </si>
  <si>
    <t>Basic data</t>
  </si>
  <si>
    <t>Mandator</t>
  </si>
  <si>
    <t>Project</t>
  </si>
  <si>
    <t>Plant</t>
  </si>
  <si>
    <t>Area</t>
  </si>
  <si>
    <t>CM</t>
  </si>
  <si>
    <t>01.0</t>
  </si>
  <si>
    <t>BD</t>
  </si>
  <si>
    <t>VV</t>
  </si>
  <si>
    <t>Equipment</t>
  </si>
  <si>
    <t>Lang.</t>
  </si>
  <si>
    <t>EN</t>
  </si>
  <si>
    <t>Size</t>
  </si>
  <si>
    <t>Sheet</t>
  </si>
  <si>
    <t>No. Sheets</t>
  </si>
  <si>
    <t>SubGroup</t>
  </si>
  <si>
    <t>SupplyGrp</t>
  </si>
  <si>
    <t>Special Partner</t>
  </si>
  <si>
    <t>Partno</t>
  </si>
  <si>
    <t>Special Partner No.</t>
  </si>
  <si>
    <t>DocType</t>
  </si>
  <si>
    <t>Document Type</t>
  </si>
  <si>
    <t>CountNo</t>
  </si>
  <si>
    <t>Doc Title</t>
  </si>
  <si>
    <t>VAI No:</t>
  </si>
  <si>
    <t>Rev:</t>
  </si>
  <si>
    <t>Plant Integration, Steelmaking &amp; Environmental Tech</t>
  </si>
  <si>
    <t>ISS</t>
  </si>
  <si>
    <t>Planta</t>
  </si>
  <si>
    <t>Grupo de Fornecimento</t>
  </si>
  <si>
    <t>Tipo de Documento</t>
  </si>
  <si>
    <t>C.ACV0</t>
  </si>
  <si>
    <t>Projeto</t>
  </si>
  <si>
    <t>Área</t>
  </si>
  <si>
    <t>Sub-grupo</t>
  </si>
  <si>
    <t>GrupoFornec.</t>
  </si>
  <si>
    <t>Nº. da Peça</t>
  </si>
  <si>
    <t>Tipo de Doc.</t>
  </si>
  <si>
    <t>Título do Doc.</t>
  </si>
  <si>
    <t>Made by / Feito por</t>
  </si>
  <si>
    <t>Checked by / Verificado por</t>
  </si>
  <si>
    <t>Approved by / Aprovado por</t>
  </si>
  <si>
    <t>Eng./Engenharia</t>
  </si>
  <si>
    <t>Secl./Segurança</t>
  </si>
  <si>
    <t>Mass / Peso</t>
  </si>
  <si>
    <t>Material</t>
  </si>
  <si>
    <t>Unit / Unidade</t>
  </si>
  <si>
    <t>Scale1/ Escala1</t>
  </si>
  <si>
    <t>Scale2 / Escala2</t>
  </si>
  <si>
    <t>Sub No. / Sub Nº.</t>
  </si>
  <si>
    <t>Sub</t>
  </si>
  <si>
    <t>Corresponding Doc.</t>
  </si>
  <si>
    <t>Customer No. / Nº.Cliente</t>
  </si>
  <si>
    <t>Substitute for / Sub para</t>
  </si>
  <si>
    <t>Replaced by / Rev. por</t>
  </si>
  <si>
    <t>Modification contents / Conteúdo das Modificações</t>
  </si>
  <si>
    <t>Contract No/Nº. Contrato</t>
  </si>
  <si>
    <t xml:space="preserve">Rev. </t>
  </si>
  <si>
    <t>Date / Data</t>
  </si>
  <si>
    <t>Name / Nome</t>
  </si>
  <si>
    <t>0</t>
  </si>
  <si>
    <t>Steel Plant</t>
  </si>
  <si>
    <t>for / para</t>
  </si>
  <si>
    <t>and for / e para</t>
  </si>
  <si>
    <t>for the / para a</t>
  </si>
  <si>
    <t>Thyssen Krupp Companhia Siderúrgica do Atlântico</t>
  </si>
  <si>
    <t>Supply Group</t>
  </si>
  <si>
    <t>Equipamento</t>
  </si>
  <si>
    <t>Siemens VAI Metals Technologies GmbH</t>
  </si>
  <si>
    <t>S</t>
  </si>
  <si>
    <t xml:space="preserve">
    </t>
  </si>
  <si>
    <t>neuer Wert333</t>
  </si>
  <si>
    <t>2012-08-02 12:36:48.10</t>
  </si>
</sst>
</file>

<file path=xl/styles.xml><?xml version="1.0" encoding="utf-8"?>
<styleSheet xmlns="http://schemas.openxmlformats.org/spreadsheetml/2006/main">
  <fonts count="14">
    <font>
      <sz val="11"/>
      <name val="Arial"/>
    </font>
    <font>
      <sz val="10"/>
      <name val="Arial"/>
    </font>
    <font>
      <sz val="8"/>
      <name val="Arial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.5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1" applyFont="1" applyFill="1" applyBorder="1"/>
    <xf numFmtId="49" fontId="7" fillId="0" borderId="1" xfId="1" applyNumberFormat="1" applyFont="1" applyFill="1" applyBorder="1" applyAlignment="1">
      <alignment horizontal="left"/>
    </xf>
    <xf numFmtId="49" fontId="7" fillId="0" borderId="2" xfId="1" applyNumberFormat="1" applyFont="1" applyFill="1" applyBorder="1" applyAlignment="1">
      <alignment horizontal="left"/>
    </xf>
    <xf numFmtId="49" fontId="7" fillId="0" borderId="3" xfId="1" applyNumberFormat="1" applyFont="1" applyFill="1" applyBorder="1" applyAlignment="1">
      <alignment horizontal="left"/>
    </xf>
    <xf numFmtId="49" fontId="7" fillId="0" borderId="1" xfId="1" applyNumberFormat="1" applyFont="1" applyFill="1" applyBorder="1" applyAlignment="1">
      <alignment horizontal="right"/>
    </xf>
    <xf numFmtId="0" fontId="10" fillId="0" borderId="0" xfId="1" applyFont="1" applyFill="1" applyBorder="1"/>
    <xf numFmtId="0" fontId="6" fillId="0" borderId="0" xfId="1" applyFont="1" applyFill="1" applyBorder="1"/>
    <xf numFmtId="0" fontId="6" fillId="0" borderId="4" xfId="1" applyFont="1" applyFill="1" applyBorder="1"/>
    <xf numFmtId="49" fontId="6" fillId="0" borderId="1" xfId="1" applyNumberFormat="1" applyFont="1" applyFill="1" applyBorder="1"/>
    <xf numFmtId="0" fontId="6" fillId="0" borderId="5" xfId="1" applyFont="1" applyFill="1" applyBorder="1" applyAlignment="1">
      <alignment vertical="top"/>
    </xf>
    <xf numFmtId="0" fontId="6" fillId="0" borderId="0" xfId="1" applyFont="1" applyFill="1" applyBorder="1" applyAlignment="1">
      <alignment vertical="top"/>
    </xf>
    <xf numFmtId="49" fontId="6" fillId="2" borderId="1" xfId="1" applyNumberFormat="1" applyFont="1" applyFill="1" applyBorder="1" applyAlignment="1">
      <alignment horizontal="left" wrapText="1"/>
    </xf>
    <xf numFmtId="0" fontId="12" fillId="0" borderId="0" xfId="1" applyFont="1" applyFill="1" applyBorder="1" applyAlignment="1">
      <alignment horizontal="right"/>
    </xf>
    <xf numFmtId="0" fontId="4" fillId="0" borderId="0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/>
    </xf>
    <xf numFmtId="0" fontId="6" fillId="0" borderId="0" xfId="1" applyFont="1" applyFill="1" applyBorder="1"/>
    <xf numFmtId="0" fontId="6" fillId="0" borderId="0" xfId="1" applyFont="1" applyFill="1" applyBorder="1" applyAlignment="1">
      <alignment horizontal="right"/>
    </xf>
    <xf numFmtId="0" fontId="12" fillId="0" borderId="0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right"/>
    </xf>
    <xf numFmtId="0" fontId="11" fillId="0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left" wrapText="1"/>
    </xf>
    <xf numFmtId="49" fontId="6" fillId="2" borderId="1" xfId="1" applyNumberFormat="1" applyFont="1" applyFill="1" applyBorder="1" applyAlignment="1">
      <alignment horizontal="left"/>
    </xf>
    <xf numFmtId="0" fontId="13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 wrapText="1"/>
    </xf>
    <xf numFmtId="49" fontId="7" fillId="0" borderId="1" xfId="1" applyNumberFormat="1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6" fillId="0" borderId="4" xfId="1" applyFont="1" applyFill="1" applyBorder="1" applyAlignment="1">
      <alignment horizontal="center"/>
    </xf>
    <xf numFmtId="0" fontId="6" fillId="0" borderId="4" xfId="1" applyFont="1" applyFill="1" applyBorder="1"/>
    <xf numFmtId="49" fontId="6" fillId="2" borderId="8" xfId="1" applyNumberFormat="1" applyFont="1" applyFill="1" applyBorder="1" applyAlignment="1">
      <alignment horizontal="left" wrapText="1"/>
    </xf>
    <xf numFmtId="49" fontId="6" fillId="2" borderId="6" xfId="1" applyNumberFormat="1" applyFont="1" applyFill="1" applyBorder="1" applyAlignment="1">
      <alignment horizontal="left"/>
    </xf>
    <xf numFmtId="49" fontId="6" fillId="2" borderId="9" xfId="1" applyNumberFormat="1" applyFont="1" applyFill="1" applyBorder="1" applyAlignment="1">
      <alignment horizontal="left"/>
    </xf>
    <xf numFmtId="49" fontId="7" fillId="0" borderId="8" xfId="1" applyNumberFormat="1" applyFont="1" applyFill="1" applyBorder="1" applyAlignment="1">
      <alignment horizontal="right"/>
    </xf>
    <xf numFmtId="49" fontId="7" fillId="0" borderId="9" xfId="1" applyNumberFormat="1" applyFont="1" applyFill="1" applyBorder="1" applyAlignment="1">
      <alignment horizontal="right"/>
    </xf>
    <xf numFmtId="49" fontId="6" fillId="0" borderId="8" xfId="1" applyNumberFormat="1" applyFont="1" applyFill="1" applyBorder="1" applyAlignment="1">
      <alignment horizontal="right"/>
    </xf>
    <xf numFmtId="49" fontId="6" fillId="0" borderId="9" xfId="1" applyNumberFormat="1" applyFont="1" applyFill="1" applyBorder="1" applyAlignment="1">
      <alignment horizontal="right"/>
    </xf>
    <xf numFmtId="49" fontId="6" fillId="2" borderId="7" xfId="1" applyNumberFormat="1" applyFont="1" applyFill="1" applyBorder="1" applyAlignment="1">
      <alignment horizontal="right"/>
    </xf>
    <xf numFmtId="49" fontId="6" fillId="2" borderId="10" xfId="1" applyNumberFormat="1" applyFont="1" applyFill="1" applyBorder="1" applyAlignment="1">
      <alignment horizontal="right"/>
    </xf>
    <xf numFmtId="49" fontId="6" fillId="0" borderId="7" xfId="1" applyNumberFormat="1" applyFont="1" applyFill="1" applyBorder="1" applyAlignment="1">
      <alignment horizontal="left"/>
    </xf>
    <xf numFmtId="49" fontId="6" fillId="0" borderId="5" xfId="1" applyNumberFormat="1" applyFont="1" applyFill="1" applyBorder="1" applyAlignment="1">
      <alignment horizontal="left"/>
    </xf>
    <xf numFmtId="49" fontId="6" fillId="0" borderId="10" xfId="1" applyNumberFormat="1" applyFont="1" applyFill="1" applyBorder="1" applyAlignment="1">
      <alignment horizontal="left"/>
    </xf>
    <xf numFmtId="49" fontId="6" fillId="0" borderId="11" xfId="1" applyNumberFormat="1" applyFont="1" applyFill="1" applyBorder="1" applyAlignment="1">
      <alignment horizontal="right"/>
    </xf>
    <xf numFmtId="49" fontId="6" fillId="0" borderId="12" xfId="1" applyNumberFormat="1" applyFont="1" applyFill="1" applyBorder="1" applyAlignment="1">
      <alignment horizontal="right"/>
    </xf>
    <xf numFmtId="49" fontId="8" fillId="0" borderId="1" xfId="1" applyNumberFormat="1" applyFont="1" applyFill="1" applyBorder="1" applyAlignment="1">
      <alignment horizontal="left"/>
    </xf>
    <xf numFmtId="49" fontId="6" fillId="0" borderId="11" xfId="1" applyNumberFormat="1" applyFont="1" applyFill="1" applyBorder="1" applyAlignment="1">
      <alignment horizontal="left" wrapText="1"/>
    </xf>
    <xf numFmtId="49" fontId="6" fillId="0" borderId="4" xfId="1" applyNumberFormat="1" applyFont="1" applyFill="1" applyBorder="1" applyAlignment="1">
      <alignment horizontal="left"/>
    </xf>
    <xf numFmtId="49" fontId="6" fillId="0" borderId="12" xfId="1" applyNumberFormat="1" applyFont="1" applyFill="1" applyBorder="1" applyAlignment="1">
      <alignment horizontal="left"/>
    </xf>
    <xf numFmtId="49" fontId="8" fillId="0" borderId="0" xfId="1" applyNumberFormat="1" applyFont="1" applyFill="1" applyBorder="1" applyAlignment="1">
      <alignment horizontal="left"/>
    </xf>
    <xf numFmtId="49" fontId="6" fillId="0" borderId="1" xfId="1" applyNumberFormat="1" applyFont="1" applyFill="1" applyBorder="1" applyAlignment="1">
      <alignment horizontal="left" wrapText="1"/>
    </xf>
    <xf numFmtId="49" fontId="6" fillId="0" borderId="1" xfId="1" applyNumberFormat="1" applyFont="1" applyFill="1" applyBorder="1" applyAlignment="1">
      <alignment horizontal="left"/>
    </xf>
    <xf numFmtId="49" fontId="6" fillId="0" borderId="11" xfId="1" applyNumberFormat="1" applyFont="1" applyFill="1" applyBorder="1" applyAlignment="1">
      <alignment horizontal="left"/>
    </xf>
    <xf numFmtId="49" fontId="6" fillId="2" borderId="7" xfId="1" applyNumberFormat="1" applyFont="1" applyFill="1" applyBorder="1" applyAlignment="1">
      <alignment horizontal="right" wrapText="1"/>
    </xf>
    <xf numFmtId="49" fontId="8" fillId="0" borderId="6" xfId="1" applyNumberFormat="1" applyFont="1" applyFill="1" applyBorder="1" applyAlignment="1">
      <alignment horizontal="left"/>
    </xf>
    <xf numFmtId="49" fontId="8" fillId="0" borderId="9" xfId="1" applyNumberFormat="1" applyFont="1" applyFill="1" applyBorder="1" applyAlignment="1">
      <alignment horizontal="left"/>
    </xf>
    <xf numFmtId="49" fontId="6" fillId="2" borderId="1" xfId="1" applyNumberFormat="1" applyFont="1" applyFill="1" applyBorder="1" applyAlignment="1">
      <alignment horizontal="right" wrapText="1"/>
    </xf>
    <xf numFmtId="49" fontId="6" fillId="2" borderId="1" xfId="1" applyNumberFormat="1" applyFont="1" applyFill="1" applyBorder="1" applyAlignment="1">
      <alignment horizontal="right"/>
    </xf>
    <xf numFmtId="49" fontId="7" fillId="0" borderId="1" xfId="1" applyNumberFormat="1" applyFont="1" applyFill="1" applyBorder="1" applyAlignment="1">
      <alignment horizontal="right"/>
    </xf>
    <xf numFmtId="49" fontId="6" fillId="0" borderId="7" xfId="1" applyNumberFormat="1" applyFont="1" applyFill="1" applyBorder="1" applyAlignment="1">
      <alignment horizontal="left" wrapText="1"/>
    </xf>
    <xf numFmtId="49" fontId="8" fillId="0" borderId="8" xfId="1" applyNumberFormat="1" applyFont="1" applyFill="1" applyBorder="1" applyAlignment="1">
      <alignment horizontal="left"/>
    </xf>
    <xf numFmtId="49" fontId="6" fillId="2" borderId="11" xfId="1" applyNumberFormat="1" applyFont="1" applyFill="1" applyBorder="1" applyAlignment="1">
      <alignment horizontal="left" wrapText="1"/>
    </xf>
    <xf numFmtId="49" fontId="6" fillId="2" borderId="4" xfId="1" applyNumberFormat="1" applyFont="1" applyFill="1" applyBorder="1" applyAlignment="1">
      <alignment horizontal="left"/>
    </xf>
    <xf numFmtId="49" fontId="6" fillId="2" borderId="12" xfId="1" applyNumberFormat="1" applyFont="1" applyFill="1" applyBorder="1" applyAlignment="1">
      <alignment horizontal="left"/>
    </xf>
    <xf numFmtId="49" fontId="6" fillId="2" borderId="7" xfId="1" applyNumberFormat="1" applyFont="1" applyFill="1" applyBorder="1" applyAlignment="1">
      <alignment horizontal="left" wrapText="1"/>
    </xf>
    <xf numFmtId="49" fontId="6" fillId="2" borderId="5" xfId="1" applyNumberFormat="1" applyFont="1" applyFill="1" applyBorder="1" applyAlignment="1">
      <alignment horizontal="left"/>
    </xf>
    <xf numFmtId="49" fontId="6" fillId="2" borderId="10" xfId="1" applyNumberFormat="1" applyFont="1" applyFill="1" applyBorder="1" applyAlignment="1">
      <alignment horizontal="left"/>
    </xf>
    <xf numFmtId="0" fontId="6" fillId="2" borderId="1" xfId="1" applyNumberFormat="1" applyFont="1" applyFill="1" applyBorder="1" applyAlignment="1">
      <alignment horizontal="left"/>
    </xf>
    <xf numFmtId="49" fontId="6" fillId="2" borderId="1" xfId="1" applyNumberFormat="1" applyFont="1" applyFill="1" applyBorder="1" applyAlignment="1">
      <alignment wrapText="1"/>
    </xf>
    <xf numFmtId="49" fontId="6" fillId="2" borderId="1" xfId="1" applyNumberFormat="1" applyFont="1" applyFill="1" applyBorder="1" applyAlignment="1"/>
    <xf numFmtId="0" fontId="8" fillId="0" borderId="5" xfId="1" applyFont="1" applyFill="1" applyBorder="1" applyAlignment="1">
      <alignment vertical="top"/>
    </xf>
    <xf numFmtId="0" fontId="9" fillId="0" borderId="5" xfId="1" applyNumberFormat="1" applyFont="1" applyFill="1" applyBorder="1" applyAlignment="1">
      <alignment vertical="top"/>
    </xf>
    <xf numFmtId="49" fontId="7" fillId="0" borderId="8" xfId="1" applyNumberFormat="1" applyFont="1" applyFill="1" applyBorder="1" applyAlignment="1">
      <alignment horizontal="left"/>
    </xf>
    <xf numFmtId="49" fontId="7" fillId="0" borderId="6" xfId="1" applyNumberFormat="1" applyFont="1" applyFill="1" applyBorder="1" applyAlignment="1">
      <alignment horizontal="left"/>
    </xf>
    <xf numFmtId="0" fontId="6" fillId="0" borderId="6" xfId="1" applyFont="1" applyFill="1" applyBorder="1"/>
    <xf numFmtId="0" fontId="9" fillId="0" borderId="5" xfId="1" applyFont="1" applyFill="1" applyBorder="1" applyAlignment="1">
      <alignment vertical="top" wrapText="1"/>
    </xf>
    <xf numFmtId="0" fontId="9" fillId="0" borderId="5" xfId="1" applyFont="1" applyFill="1" applyBorder="1" applyAlignment="1">
      <alignment vertical="top"/>
    </xf>
    <xf numFmtId="49" fontId="6" fillId="0" borderId="7" xfId="1" applyNumberFormat="1" applyFont="1" applyFill="1" applyBorder="1" applyAlignment="1">
      <alignment horizontal="right"/>
    </xf>
    <xf numFmtId="49" fontId="6" fillId="0" borderId="10" xfId="1" applyNumberFormat="1" applyFont="1" applyFill="1" applyBorder="1" applyAlignment="1">
      <alignment horizontal="right"/>
    </xf>
    <xf numFmtId="49" fontId="6" fillId="2" borderId="8" xfId="1" applyNumberFormat="1" applyFont="1" applyFill="1" applyBorder="1" applyAlignment="1">
      <alignment horizontal="right" wrapText="1"/>
    </xf>
    <xf numFmtId="49" fontId="6" fillId="2" borderId="9" xfId="1" applyNumberFormat="1" applyFont="1" applyFill="1" applyBorder="1" applyAlignment="1">
      <alignment horizontal="right"/>
    </xf>
  </cellXfs>
  <cellStyles count="2">
    <cellStyle name="Normal" xfId="0" builtinId="0"/>
    <cellStyle name="Normal_plmupdateServer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47625</xdr:colOff>
      <xdr:row>0</xdr:row>
      <xdr:rowOff>0</xdr:rowOff>
    </xdr:from>
    <xdr:to>
      <xdr:col>28</xdr:col>
      <xdr:colOff>161925</xdr:colOff>
      <xdr:row>1</xdr:row>
      <xdr:rowOff>161925</xdr:rowOff>
    </xdr:to>
    <xdr:pic>
      <xdr:nvPicPr>
        <xdr:cNvPr id="1025" name="vaiLogo" descr="SVAI_Schwarz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96075" y="0"/>
          <a:ext cx="89535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361950</xdr:colOff>
      <xdr:row>1</xdr:row>
      <xdr:rowOff>47625</xdr:rowOff>
    </xdr:to>
    <xdr:pic>
      <xdr:nvPicPr>
        <xdr:cNvPr id="1026" name="vaiCustomerLogo" descr="CSA-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8953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AC48"/>
  <sheetViews>
    <sheetView tabSelected="1" topLeftCell="A13" workbookViewId="0">
      <selection activeCell="A14" sqref="A14:AC14"/>
    </sheetView>
  </sheetViews>
  <sheetFormatPr defaultColWidth="8" defaultRowHeight="12.75"/>
  <cols>
    <col min="1" max="2" width="3.5" style="7" customWidth="1"/>
    <col min="3" max="3" width="7.375" style="7" customWidth="1"/>
    <col min="4" max="4" width="12.25" style="7" customWidth="1"/>
    <col min="5" max="11" width="4.375" style="7" customWidth="1"/>
    <col min="12" max="16" width="3.5" style="7" customWidth="1"/>
    <col min="17" max="23" width="1.375" style="7" customWidth="1"/>
    <col min="24" max="25" width="2.875" style="7" customWidth="1"/>
    <col min="26" max="26" width="2.625" style="7" customWidth="1"/>
    <col min="27" max="29" width="2.375" style="7" customWidth="1"/>
    <col min="30" max="16384" width="8" style="7"/>
  </cols>
  <sheetData>
    <row r="1" spans="1:29" ht="18">
      <c r="A1" s="16"/>
      <c r="B1" s="16"/>
      <c r="D1" s="1" t="s">
        <v>0</v>
      </c>
      <c r="E1" s="1"/>
      <c r="F1" s="19" t="s">
        <v>1</v>
      </c>
      <c r="G1" s="19"/>
      <c r="H1" s="19"/>
      <c r="I1" s="19"/>
      <c r="J1" s="19"/>
      <c r="K1" s="19"/>
      <c r="L1" s="19"/>
      <c r="M1" s="19"/>
      <c r="N1" s="20" t="s">
        <v>2</v>
      </c>
      <c r="O1" s="20"/>
      <c r="P1" s="20"/>
      <c r="Q1" s="20"/>
      <c r="R1" s="20"/>
      <c r="S1" s="20"/>
      <c r="T1" s="20"/>
      <c r="U1" s="20"/>
      <c r="V1" s="20"/>
      <c r="W1" s="20"/>
    </row>
    <row r="2" spans="1:29" ht="15.75" customHeight="1">
      <c r="A2" s="16"/>
      <c r="B2" s="16"/>
      <c r="D2" s="18" t="s">
        <v>68</v>
      </c>
      <c r="E2" s="18"/>
      <c r="F2" s="18"/>
      <c r="G2" s="18"/>
      <c r="H2" s="18"/>
      <c r="I2" s="18"/>
      <c r="J2" s="17" t="s">
        <v>71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9" ht="15.75" customHeight="1">
      <c r="A3" s="16"/>
      <c r="B3" s="16"/>
      <c r="D3" s="21" t="s">
        <v>64</v>
      </c>
      <c r="E3" s="21"/>
      <c r="F3" s="21"/>
      <c r="G3" s="21"/>
      <c r="H3" s="21"/>
      <c r="I3" s="21"/>
      <c r="J3" s="13" t="s">
        <v>29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9" ht="15.75" customHeight="1">
      <c r="A4" s="16"/>
      <c r="B4" s="16"/>
      <c r="D4" s="29" t="str">
        <f ca="1">IF(SAP_Title1="","",SAP_Title1)</f>
        <v>neuer Wert333</v>
      </c>
      <c r="E4" s="29"/>
      <c r="F4" s="29"/>
      <c r="G4" s="29"/>
      <c r="H4" s="29"/>
      <c r="I4" s="29"/>
      <c r="J4" s="17" t="s">
        <v>30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9" ht="15.75" customHeight="1">
      <c r="A5" s="31"/>
      <c r="B5" s="31"/>
      <c r="C5" s="8"/>
      <c r="D5" s="30" t="s">
        <v>3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8"/>
      <c r="Y5" s="8"/>
      <c r="Z5" s="8"/>
      <c r="AA5" s="8"/>
      <c r="AB5" s="8"/>
      <c r="AC5" s="8"/>
    </row>
    <row r="6" spans="1:29" ht="21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42.95" customHeight="1">
      <c r="A7" s="15" t="str">
        <f ca="1">IF(SAP_DocumentTypeText="","DocumentType",SAP_DocumentTypeText)&amp;" (/"&amp;IF(SAP_DocType="","",SAP_DocType)&amp;")"</f>
        <v>Document Type (/
    )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42.95" customHeight="1">
      <c r="A8" s="14" t="str">
        <f ca="1">IF(SAP_DocumentTypeTextPL="","",SAP_DocumentTypeTextPL)</f>
        <v>Tipo de Documento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42.95" customHeight="1">
      <c r="A9" s="22" t="s">
        <v>65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42.95" customHeight="1">
      <c r="A10" s="15" t="str">
        <f ca="1">IF(SAP_Title4="","Equipment",SAP_Title4)&amp;" (."&amp;IF(SAP_Area="","",SAP_Area)&amp;IF(SAP_Equipment="","",SAP_Equipment)&amp;")"</f>
        <v>Equipment (.SS)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42.95" customHeight="1">
      <c r="A11" s="14" t="str">
        <f ca="1">IF(SAP_Title4PL="","",SAP_Title4PL)</f>
        <v>Equipamento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42.95" customHeight="1">
      <c r="A12" s="22" t="s">
        <v>66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42.95" customHeight="1">
      <c r="A13" s="15" t="str">
        <f ca="1">IF(SAP_SupplyGroupText="","Supplygroup",SAP_SupplyGroupText)</f>
        <v>Supply Group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42.95" customHeight="1">
      <c r="A14" s="14" t="str">
        <f ca="1">IF(SAP_SupplyGroupTextPL="","",SAP_SupplyGroupTextPL)</f>
        <v>Grupo de Fornecimento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42.95" customHeight="1">
      <c r="A15" s="22" t="s">
        <v>67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42.95" customHeight="1">
      <c r="A16" s="15" t="str">
        <f ca="1">IF(SAP_Title2="","Plant",SAP_Title2)</f>
        <v>2012-08-02 12:36:48.10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42.95" customHeight="1">
      <c r="A17" s="14" t="str">
        <f ca="1">IF(SAP_Title2PL="","",SAP_Title2PL)</f>
        <v>Planta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9" s="6" customFormat="1" ht="14.25">
      <c r="A19" s="25" t="str">
        <f ca="1">IF(SAP_Customer="","Customer",SAP_Customer)</f>
        <v>Thyssen Krupp Companhia Siderúrgica do Atlântico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s="6" customFormat="1" ht="14.25">
      <c r="A20" s="25" t="str">
        <f ca="1">IF(SAP_CustomerProjectDescription="","Customer Project Description",SAP_CustomerProjectDescription)</f>
        <v>Steel Plant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s="6" customFormat="1">
      <c r="A21" s="27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spans="1:29" s="6" customForma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4" spans="1:29" ht="13.5" customHeight="1">
      <c r="A24" s="37" t="s">
        <v>63</v>
      </c>
      <c r="B24" s="38"/>
      <c r="C24" s="23" t="s">
        <v>73</v>
      </c>
      <c r="D24" s="24"/>
      <c r="E24" s="24"/>
      <c r="F24" s="24"/>
      <c r="G24" s="24"/>
      <c r="H24" s="24"/>
      <c r="I24" s="24"/>
      <c r="J24" s="24"/>
      <c r="K24" s="24"/>
      <c r="L24" s="23" t="s">
        <v>73</v>
      </c>
      <c r="M24" s="24"/>
      <c r="N24" s="24"/>
      <c r="O24" s="23" t="s">
        <v>73</v>
      </c>
      <c r="P24" s="24"/>
      <c r="Q24" s="24"/>
      <c r="R24" s="24"/>
      <c r="S24" s="24"/>
      <c r="T24" s="24"/>
      <c r="U24" s="24"/>
      <c r="V24" s="24"/>
      <c r="W24" s="24"/>
      <c r="X24" s="23" t="s">
        <v>73</v>
      </c>
      <c r="Y24" s="24"/>
      <c r="Z24" s="24"/>
      <c r="AA24" s="24"/>
      <c r="AB24" s="24"/>
      <c r="AC24" s="24"/>
    </row>
    <row r="25" spans="1:29" ht="13.5" customHeight="1">
      <c r="A25" s="35" t="s">
        <v>60</v>
      </c>
      <c r="B25" s="36"/>
      <c r="C25" s="28" t="s">
        <v>58</v>
      </c>
      <c r="D25" s="28"/>
      <c r="E25" s="28"/>
      <c r="F25" s="28"/>
      <c r="G25" s="28"/>
      <c r="H25" s="28"/>
      <c r="I25" s="28"/>
      <c r="J25" s="28"/>
      <c r="K25" s="28"/>
      <c r="L25" s="28" t="s">
        <v>61</v>
      </c>
      <c r="M25" s="28"/>
      <c r="N25" s="28"/>
      <c r="O25" s="28" t="s">
        <v>42</v>
      </c>
      <c r="P25" s="28"/>
      <c r="Q25" s="28"/>
      <c r="R25" s="28"/>
      <c r="S25" s="28"/>
      <c r="T25" s="28"/>
      <c r="U25" s="28"/>
      <c r="V25" s="28"/>
      <c r="W25" s="28"/>
      <c r="X25" s="28" t="s">
        <v>43</v>
      </c>
      <c r="Y25" s="28"/>
      <c r="Z25" s="28"/>
      <c r="AA25" s="28"/>
      <c r="AB25" s="28"/>
      <c r="AC25" s="28"/>
    </row>
    <row r="26" spans="1:29" ht="13.5" customHeight="1">
      <c r="A26" s="35" t="s">
        <v>4</v>
      </c>
      <c r="B26" s="36"/>
      <c r="C26" s="12" t="s">
        <v>73</v>
      </c>
      <c r="D26" s="2" t="s">
        <v>59</v>
      </c>
      <c r="E26" s="32" t="s">
        <v>73</v>
      </c>
      <c r="F26" s="33"/>
      <c r="G26" s="33"/>
      <c r="H26" s="33"/>
      <c r="I26" s="33"/>
      <c r="J26" s="33"/>
      <c r="K26" s="34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13.5" customHeight="1">
      <c r="A27" s="39" t="s">
        <v>34</v>
      </c>
      <c r="B27" s="40"/>
      <c r="C27" s="3" t="s">
        <v>5</v>
      </c>
      <c r="D27" s="41" t="s">
        <v>74</v>
      </c>
      <c r="E27" s="42"/>
      <c r="F27" s="42"/>
      <c r="G27" s="42"/>
      <c r="H27" s="42"/>
      <c r="I27" s="42"/>
      <c r="J27" s="42"/>
      <c r="K27" s="43"/>
      <c r="L27" s="46"/>
      <c r="M27" s="46"/>
      <c r="N27" s="46"/>
      <c r="O27" s="46"/>
      <c r="P27" s="46"/>
      <c r="Q27" s="28" t="s">
        <v>61</v>
      </c>
      <c r="R27" s="28"/>
      <c r="S27" s="28"/>
      <c r="T27" s="28"/>
      <c r="U27" s="28"/>
      <c r="V27" s="28"/>
      <c r="W27" s="28"/>
      <c r="X27" s="28" t="s">
        <v>62</v>
      </c>
      <c r="Y27" s="28"/>
      <c r="Z27" s="28"/>
      <c r="AA27" s="28"/>
      <c r="AB27" s="28"/>
      <c r="AC27" s="28"/>
    </row>
    <row r="28" spans="1:29" ht="13.5" customHeight="1">
      <c r="A28" s="44"/>
      <c r="B28" s="45"/>
      <c r="C28" s="4" t="s">
        <v>35</v>
      </c>
      <c r="D28" s="47" t="s">
        <v>73</v>
      </c>
      <c r="E28" s="48"/>
      <c r="F28" s="48"/>
      <c r="G28" s="48"/>
      <c r="H28" s="48"/>
      <c r="I28" s="48"/>
      <c r="J28" s="48"/>
      <c r="K28" s="49"/>
      <c r="L28" s="28" t="s">
        <v>42</v>
      </c>
      <c r="M28" s="28"/>
      <c r="N28" s="28"/>
      <c r="O28" s="28"/>
      <c r="P28" s="28"/>
      <c r="Q28" s="23" t="s">
        <v>73</v>
      </c>
      <c r="R28" s="24"/>
      <c r="S28" s="24"/>
      <c r="T28" s="24"/>
      <c r="U28" s="24"/>
      <c r="V28" s="24"/>
      <c r="W28" s="24"/>
      <c r="X28" s="23" t="s">
        <v>73</v>
      </c>
      <c r="Y28" s="24"/>
      <c r="Z28" s="24"/>
      <c r="AA28" s="24"/>
      <c r="AB28" s="24"/>
      <c r="AC28" s="24"/>
    </row>
    <row r="29" spans="1:29" ht="13.5" customHeight="1">
      <c r="A29" s="39" t="s">
        <v>72</v>
      </c>
      <c r="B29" s="40"/>
      <c r="C29" s="3" t="s">
        <v>6</v>
      </c>
      <c r="D29" s="41" t="s">
        <v>75</v>
      </c>
      <c r="E29" s="42"/>
      <c r="F29" s="42"/>
      <c r="G29" s="42"/>
      <c r="H29" s="42"/>
      <c r="I29" s="42"/>
      <c r="J29" s="42"/>
      <c r="K29" s="43"/>
      <c r="L29" s="28" t="s">
        <v>43</v>
      </c>
      <c r="M29" s="28"/>
      <c r="N29" s="28"/>
      <c r="O29" s="28"/>
      <c r="P29" s="28"/>
      <c r="Q29" s="23" t="s">
        <v>73</v>
      </c>
      <c r="R29" s="24"/>
      <c r="S29" s="24"/>
      <c r="T29" s="24"/>
      <c r="U29" s="24"/>
      <c r="V29" s="24"/>
      <c r="W29" s="24"/>
      <c r="X29" s="23" t="s">
        <v>73</v>
      </c>
      <c r="Y29" s="24"/>
      <c r="Z29" s="24"/>
      <c r="AA29" s="24"/>
      <c r="AB29" s="24"/>
      <c r="AC29" s="24"/>
    </row>
    <row r="30" spans="1:29" ht="13.5" customHeight="1">
      <c r="A30" s="44"/>
      <c r="B30" s="45"/>
      <c r="C30" s="4" t="s">
        <v>31</v>
      </c>
      <c r="D30" s="53" t="s">
        <v>31</v>
      </c>
      <c r="E30" s="48"/>
      <c r="F30" s="48"/>
      <c r="G30" s="48"/>
      <c r="H30" s="48"/>
      <c r="I30" s="48"/>
      <c r="J30" s="48"/>
      <c r="K30" s="49"/>
      <c r="L30" s="28" t="s">
        <v>44</v>
      </c>
      <c r="M30" s="28"/>
      <c r="N30" s="28"/>
      <c r="O30" s="28"/>
      <c r="P30" s="28"/>
      <c r="Q30" s="51" t="s">
        <v>73</v>
      </c>
      <c r="R30" s="52"/>
      <c r="S30" s="52"/>
      <c r="T30" s="52"/>
      <c r="U30" s="52"/>
      <c r="V30" s="52"/>
      <c r="W30" s="52"/>
      <c r="X30" s="51" t="s">
        <v>73</v>
      </c>
      <c r="Y30" s="52"/>
      <c r="Z30" s="52"/>
      <c r="AA30" s="52"/>
      <c r="AB30" s="52"/>
      <c r="AC30" s="52"/>
    </row>
    <row r="31" spans="1:29" ht="13.5" customHeight="1">
      <c r="A31" s="39" t="s">
        <v>72</v>
      </c>
      <c r="B31" s="40"/>
      <c r="C31" s="3" t="s">
        <v>7</v>
      </c>
      <c r="D31" s="60" t="s">
        <v>73</v>
      </c>
      <c r="E31" s="42"/>
      <c r="F31" s="42"/>
      <c r="G31" s="42"/>
      <c r="H31" s="42"/>
      <c r="I31" s="42"/>
      <c r="J31" s="42"/>
      <c r="K31" s="43"/>
      <c r="L31" s="2" t="s">
        <v>8</v>
      </c>
      <c r="M31" s="24" t="s">
        <v>9</v>
      </c>
      <c r="N31" s="24"/>
      <c r="O31" s="28" t="s">
        <v>45</v>
      </c>
      <c r="P31" s="28"/>
      <c r="Q31" s="28"/>
      <c r="R31" s="28"/>
      <c r="S31" s="24" t="s">
        <v>10</v>
      </c>
      <c r="T31" s="24"/>
      <c r="U31" s="24"/>
      <c r="V31" s="24"/>
      <c r="W31" s="24"/>
      <c r="X31" s="28" t="s">
        <v>46</v>
      </c>
      <c r="Y31" s="28"/>
      <c r="Z31" s="28"/>
      <c r="AA31" s="28"/>
      <c r="AB31" s="24" t="s">
        <v>11</v>
      </c>
      <c r="AC31" s="24"/>
    </row>
    <row r="32" spans="1:29" ht="13.5" customHeight="1">
      <c r="A32" s="44"/>
      <c r="B32" s="45"/>
      <c r="C32" s="4" t="s">
        <v>36</v>
      </c>
      <c r="D32" s="47" t="s">
        <v>73</v>
      </c>
      <c r="E32" s="48"/>
      <c r="F32" s="48"/>
      <c r="G32" s="48"/>
      <c r="H32" s="48"/>
      <c r="I32" s="48"/>
      <c r="J32" s="48"/>
      <c r="K32" s="49"/>
      <c r="L32" s="61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6"/>
    </row>
    <row r="33" spans="1:29" ht="13.5" customHeight="1">
      <c r="A33" s="39" t="s">
        <v>72</v>
      </c>
      <c r="B33" s="40"/>
      <c r="C33" s="3" t="s">
        <v>12</v>
      </c>
      <c r="D33" s="41" t="s">
        <v>12</v>
      </c>
      <c r="E33" s="42"/>
      <c r="F33" s="42"/>
      <c r="G33" s="42"/>
      <c r="H33" s="42"/>
      <c r="I33" s="42"/>
      <c r="J33" s="42"/>
      <c r="K33" s="43"/>
      <c r="L33" s="2" t="s">
        <v>13</v>
      </c>
      <c r="M33" s="24" t="s">
        <v>14</v>
      </c>
      <c r="N33" s="24"/>
      <c r="O33" s="2" t="s">
        <v>15</v>
      </c>
      <c r="P33" s="69" t="s">
        <v>73</v>
      </c>
      <c r="Q33" s="70"/>
      <c r="R33" s="70"/>
      <c r="S33" s="70"/>
      <c r="T33" s="28" t="s">
        <v>16</v>
      </c>
      <c r="U33" s="28"/>
      <c r="V33" s="28"/>
      <c r="W33" s="23" t="s">
        <v>73</v>
      </c>
      <c r="X33" s="24"/>
      <c r="Y33" s="24"/>
      <c r="Z33" s="9"/>
      <c r="AA33" s="5" t="s">
        <v>17</v>
      </c>
      <c r="AB33" s="57" t="s">
        <v>73</v>
      </c>
      <c r="AC33" s="58"/>
    </row>
    <row r="34" spans="1:29" ht="13.5" customHeight="1">
      <c r="A34" s="44"/>
      <c r="B34" s="45"/>
      <c r="C34" s="4" t="s">
        <v>70</v>
      </c>
      <c r="D34" s="53" t="s">
        <v>70</v>
      </c>
      <c r="E34" s="48"/>
      <c r="F34" s="48"/>
      <c r="G34" s="48"/>
      <c r="H34" s="48"/>
      <c r="I34" s="48"/>
      <c r="J34" s="48"/>
      <c r="K34" s="49"/>
      <c r="L34" s="28" t="s">
        <v>48</v>
      </c>
      <c r="M34" s="28"/>
      <c r="N34" s="28"/>
      <c r="O34" s="28"/>
      <c r="P34" s="23" t="s">
        <v>73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ht="13.5" customHeight="1">
      <c r="A35" s="54" t="s">
        <v>73</v>
      </c>
      <c r="B35" s="40"/>
      <c r="C35" s="3" t="s">
        <v>18</v>
      </c>
      <c r="D35" s="65" t="s">
        <v>73</v>
      </c>
      <c r="E35" s="66"/>
      <c r="F35" s="66"/>
      <c r="G35" s="66"/>
      <c r="H35" s="66"/>
      <c r="I35" s="66"/>
      <c r="J35" s="66"/>
      <c r="K35" s="67"/>
      <c r="L35" s="28" t="s">
        <v>47</v>
      </c>
      <c r="M35" s="28"/>
      <c r="N35" s="28"/>
      <c r="O35" s="28"/>
      <c r="P35" s="68"/>
      <c r="Q35" s="68"/>
      <c r="R35" s="68"/>
      <c r="S35" s="68"/>
      <c r="T35" s="68"/>
      <c r="U35" s="68"/>
      <c r="V35" s="68"/>
      <c r="W35" s="68"/>
      <c r="X35" s="68"/>
      <c r="Y35" s="59" t="s">
        <v>49</v>
      </c>
      <c r="Z35" s="59"/>
      <c r="AA35" s="59"/>
      <c r="AB35" s="57" t="s">
        <v>73</v>
      </c>
      <c r="AC35" s="58"/>
    </row>
    <row r="36" spans="1:29" ht="13.5" customHeight="1">
      <c r="A36" s="44"/>
      <c r="B36" s="45"/>
      <c r="C36" s="4" t="s">
        <v>37</v>
      </c>
      <c r="D36" s="62" t="s">
        <v>73</v>
      </c>
      <c r="E36" s="63"/>
      <c r="F36" s="63"/>
      <c r="G36" s="63"/>
      <c r="H36" s="63"/>
      <c r="I36" s="63"/>
      <c r="J36" s="63"/>
      <c r="K36" s="64"/>
      <c r="L36" s="28" t="s">
        <v>50</v>
      </c>
      <c r="M36" s="28"/>
      <c r="N36" s="28"/>
      <c r="O36" s="23" t="s">
        <v>73</v>
      </c>
      <c r="P36" s="24"/>
      <c r="Q36" s="24"/>
      <c r="R36" s="24"/>
      <c r="S36" s="24"/>
      <c r="T36" s="28" t="s">
        <v>51</v>
      </c>
      <c r="U36" s="28"/>
      <c r="V36" s="28"/>
      <c r="W36" s="28"/>
      <c r="X36" s="28"/>
      <c r="Y36" s="32" t="s">
        <v>73</v>
      </c>
      <c r="Z36" s="33"/>
      <c r="AA36" s="33"/>
      <c r="AB36" s="33"/>
      <c r="AC36" s="34"/>
    </row>
    <row r="37" spans="1:29" ht="13.5" customHeight="1">
      <c r="A37" s="54" t="s">
        <v>73</v>
      </c>
      <c r="B37" s="40"/>
      <c r="C37" s="3" t="s">
        <v>19</v>
      </c>
      <c r="D37" s="41" t="s">
        <v>69</v>
      </c>
      <c r="E37" s="42"/>
      <c r="F37" s="42"/>
      <c r="G37" s="42"/>
      <c r="H37" s="42"/>
      <c r="I37" s="42"/>
      <c r="J37" s="42"/>
      <c r="K37" s="43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5"/>
      <c r="AC37" s="56"/>
    </row>
    <row r="38" spans="1:29" ht="13.5" customHeight="1">
      <c r="A38" s="44"/>
      <c r="B38" s="45"/>
      <c r="C38" s="4" t="s">
        <v>38</v>
      </c>
      <c r="D38" s="53" t="s">
        <v>32</v>
      </c>
      <c r="E38" s="48"/>
      <c r="F38" s="48"/>
      <c r="G38" s="48"/>
      <c r="H38" s="48"/>
      <c r="I38" s="48"/>
      <c r="J38" s="48"/>
      <c r="K38" s="49"/>
      <c r="L38" s="28" t="s">
        <v>20</v>
      </c>
      <c r="M38" s="28"/>
      <c r="N38" s="28"/>
      <c r="O38" s="28"/>
      <c r="P38" s="23" t="s">
        <v>73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3.5" customHeight="1">
      <c r="A39" s="54" t="s">
        <v>73</v>
      </c>
      <c r="B39" s="40"/>
      <c r="C39" s="3" t="s">
        <v>21</v>
      </c>
      <c r="D39" s="65" t="s">
        <v>73</v>
      </c>
      <c r="E39" s="66"/>
      <c r="F39" s="66"/>
      <c r="G39" s="66"/>
      <c r="H39" s="66"/>
      <c r="I39" s="66"/>
      <c r="J39" s="66"/>
      <c r="K39" s="67"/>
      <c r="L39" s="28" t="s">
        <v>22</v>
      </c>
      <c r="M39" s="28"/>
      <c r="N39" s="28"/>
      <c r="O39" s="28"/>
      <c r="P39" s="23" t="s">
        <v>73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 ht="13.5" customHeight="1">
      <c r="A40" s="44"/>
      <c r="B40" s="45"/>
      <c r="C40" s="4" t="s">
        <v>39</v>
      </c>
      <c r="D40" s="62" t="s">
        <v>73</v>
      </c>
      <c r="E40" s="63"/>
      <c r="F40" s="63"/>
      <c r="G40" s="63"/>
      <c r="H40" s="63"/>
      <c r="I40" s="63"/>
      <c r="J40" s="63"/>
      <c r="K40" s="64"/>
      <c r="L40" s="28" t="s">
        <v>53</v>
      </c>
      <c r="M40" s="28"/>
      <c r="N40" s="28"/>
      <c r="O40" s="28"/>
      <c r="P40" s="23" t="s">
        <v>73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spans="1:29" ht="13.5" customHeight="1">
      <c r="A41" s="54" t="s">
        <v>73</v>
      </c>
      <c r="B41" s="40"/>
      <c r="C41" s="3" t="s">
        <v>23</v>
      </c>
      <c r="D41" s="41" t="s">
        <v>24</v>
      </c>
      <c r="E41" s="42"/>
      <c r="F41" s="42"/>
      <c r="G41" s="42"/>
      <c r="H41" s="42"/>
      <c r="I41" s="42"/>
      <c r="J41" s="42"/>
      <c r="K41" s="43"/>
      <c r="L41" s="28" t="s">
        <v>52</v>
      </c>
      <c r="M41" s="28"/>
      <c r="N41" s="28"/>
      <c r="O41" s="28"/>
      <c r="P41" s="23" t="s">
        <v>73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 ht="13.5" customHeight="1">
      <c r="A42" s="44"/>
      <c r="B42" s="45"/>
      <c r="C42" s="4" t="s">
        <v>40</v>
      </c>
      <c r="D42" s="53" t="s">
        <v>33</v>
      </c>
      <c r="E42" s="48"/>
      <c r="F42" s="48"/>
      <c r="G42" s="48"/>
      <c r="H42" s="48"/>
      <c r="I42" s="48"/>
      <c r="J42" s="48"/>
      <c r="K42" s="49"/>
      <c r="L42" s="73" t="s">
        <v>54</v>
      </c>
      <c r="M42" s="74"/>
      <c r="N42" s="74"/>
      <c r="O42" s="74"/>
      <c r="P42" s="32" t="s">
        <v>73</v>
      </c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4"/>
    </row>
    <row r="43" spans="1:29" ht="13.5" customHeight="1">
      <c r="A43" s="80" t="s">
        <v>73</v>
      </c>
      <c r="B43" s="81"/>
      <c r="C43" s="2" t="s">
        <v>25</v>
      </c>
      <c r="D43" s="52"/>
      <c r="E43" s="52"/>
      <c r="F43" s="52"/>
      <c r="G43" s="52"/>
      <c r="H43" s="52"/>
      <c r="I43" s="52"/>
      <c r="J43" s="52"/>
      <c r="K43" s="52"/>
      <c r="L43" s="28" t="s">
        <v>55</v>
      </c>
      <c r="M43" s="28"/>
      <c r="N43" s="28"/>
      <c r="O43" s="28"/>
      <c r="P43" s="23" t="s">
        <v>73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13.5" customHeight="1">
      <c r="A44" s="78"/>
      <c r="B44" s="79"/>
      <c r="C44" s="3" t="s">
        <v>26</v>
      </c>
      <c r="D44" s="65" t="s">
        <v>73</v>
      </c>
      <c r="E44" s="66"/>
      <c r="F44" s="66"/>
      <c r="G44" s="66"/>
      <c r="H44" s="66"/>
      <c r="I44" s="66"/>
      <c r="J44" s="66"/>
      <c r="K44" s="67"/>
      <c r="L44" s="28" t="s">
        <v>56</v>
      </c>
      <c r="M44" s="28"/>
      <c r="N44" s="28"/>
      <c r="O44" s="28"/>
      <c r="P44" s="23" t="s">
        <v>73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13.5" customHeight="1">
      <c r="A45" s="44"/>
      <c r="B45" s="45"/>
      <c r="C45" s="4" t="s">
        <v>41</v>
      </c>
      <c r="D45" s="62" t="s">
        <v>73</v>
      </c>
      <c r="E45" s="63"/>
      <c r="F45" s="63"/>
      <c r="G45" s="63"/>
      <c r="H45" s="63"/>
      <c r="I45" s="63"/>
      <c r="J45" s="63"/>
      <c r="K45" s="64"/>
      <c r="L45" s="28" t="s">
        <v>57</v>
      </c>
      <c r="M45" s="28"/>
      <c r="N45" s="28"/>
      <c r="O45" s="28"/>
      <c r="P45" s="23" t="s">
        <v>73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>
      <c r="A46" s="75"/>
      <c r="B46" s="75"/>
    </row>
    <row r="47" spans="1:29" ht="20.25">
      <c r="A47" s="71" t="s">
        <v>27</v>
      </c>
      <c r="B47" s="71"/>
      <c r="C47" s="76" t="s">
        <v>73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1" t="s">
        <v>28</v>
      </c>
      <c r="Q47" s="71"/>
      <c r="R47" s="71"/>
      <c r="S47" s="72" t="str">
        <f ca="1">SAP_CustomerRevisionNo</f>
        <v>0</v>
      </c>
      <c r="T47" s="72"/>
      <c r="U47" s="72"/>
      <c r="V47" s="72"/>
      <c r="W47" s="72"/>
      <c r="X47" s="10"/>
      <c r="Y47" s="10"/>
      <c r="Z47" s="10"/>
      <c r="AA47" s="10"/>
      <c r="AB47" s="10"/>
      <c r="AC47" s="10"/>
    </row>
    <row r="48" spans="1:29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</sheetData>
  <mergeCells count="141">
    <mergeCell ref="P41:AC41"/>
    <mergeCell ref="T37:X37"/>
    <mergeCell ref="A44:B44"/>
    <mergeCell ref="A42:B42"/>
    <mergeCell ref="A43:B43"/>
    <mergeCell ref="L44:O44"/>
    <mergeCell ref="L43:O43"/>
    <mergeCell ref="D43:K43"/>
    <mergeCell ref="D42:K42"/>
    <mergeCell ref="D44:K44"/>
    <mergeCell ref="A47:B47"/>
    <mergeCell ref="A46:B46"/>
    <mergeCell ref="C47:O47"/>
    <mergeCell ref="A45:B45"/>
    <mergeCell ref="L45:O45"/>
    <mergeCell ref="D45:K45"/>
    <mergeCell ref="P43:AC43"/>
    <mergeCell ref="P44:AC44"/>
    <mergeCell ref="P47:R47"/>
    <mergeCell ref="P45:AC45"/>
    <mergeCell ref="S47:W47"/>
    <mergeCell ref="L42:O42"/>
    <mergeCell ref="P42:AC42"/>
    <mergeCell ref="A41:B41"/>
    <mergeCell ref="A40:B40"/>
    <mergeCell ref="D38:K38"/>
    <mergeCell ref="L38:O38"/>
    <mergeCell ref="D40:K40"/>
    <mergeCell ref="D39:K39"/>
    <mergeCell ref="L39:O39"/>
    <mergeCell ref="A39:B39"/>
    <mergeCell ref="A38:B38"/>
    <mergeCell ref="L41:O41"/>
    <mergeCell ref="D41:K41"/>
    <mergeCell ref="P40:AC40"/>
    <mergeCell ref="X29:AC29"/>
    <mergeCell ref="Q29:W29"/>
    <mergeCell ref="P38:AC38"/>
    <mergeCell ref="L40:O40"/>
    <mergeCell ref="T36:X36"/>
    <mergeCell ref="O36:S36"/>
    <mergeCell ref="L36:N36"/>
    <mergeCell ref="P34:AC34"/>
    <mergeCell ref="D36:K36"/>
    <mergeCell ref="D34:K34"/>
    <mergeCell ref="D37:K37"/>
    <mergeCell ref="D35:K35"/>
    <mergeCell ref="P35:X35"/>
    <mergeCell ref="P33:S33"/>
    <mergeCell ref="L34:O34"/>
    <mergeCell ref="L35:O35"/>
    <mergeCell ref="M33:N33"/>
    <mergeCell ref="W33:Y33"/>
    <mergeCell ref="D33:K33"/>
    <mergeCell ref="A32:B32"/>
    <mergeCell ref="D31:K31"/>
    <mergeCell ref="O31:R31"/>
    <mergeCell ref="L32:AC32"/>
    <mergeCell ref="S31:W31"/>
    <mergeCell ref="D32:K32"/>
    <mergeCell ref="A31:B31"/>
    <mergeCell ref="AB33:AC33"/>
    <mergeCell ref="T33:V33"/>
    <mergeCell ref="A37:B37"/>
    <mergeCell ref="A33:B33"/>
    <mergeCell ref="A35:B35"/>
    <mergeCell ref="A34:B34"/>
    <mergeCell ref="A36:B36"/>
    <mergeCell ref="P39:AC39"/>
    <mergeCell ref="Y36:AC36"/>
    <mergeCell ref="AB37:AC37"/>
    <mergeCell ref="AB35:AC35"/>
    <mergeCell ref="Y35:AA35"/>
    <mergeCell ref="L37:M37"/>
    <mergeCell ref="X30:AC30"/>
    <mergeCell ref="D30:K30"/>
    <mergeCell ref="AB31:AC31"/>
    <mergeCell ref="M31:N31"/>
    <mergeCell ref="X31:AA31"/>
    <mergeCell ref="Q30:W30"/>
    <mergeCell ref="L30:P30"/>
    <mergeCell ref="Y37:AA37"/>
    <mergeCell ref="N37:S37"/>
    <mergeCell ref="A30:B30"/>
    <mergeCell ref="D27:K27"/>
    <mergeCell ref="L27:P27"/>
    <mergeCell ref="Q27:W27"/>
    <mergeCell ref="A28:B28"/>
    <mergeCell ref="Q28:W28"/>
    <mergeCell ref="D28:K28"/>
    <mergeCell ref="L28:P28"/>
    <mergeCell ref="A27:B27"/>
    <mergeCell ref="A24:B24"/>
    <mergeCell ref="X25:AC25"/>
    <mergeCell ref="A17:AC17"/>
    <mergeCell ref="A12:AC12"/>
    <mergeCell ref="A25:B25"/>
    <mergeCell ref="A29:B29"/>
    <mergeCell ref="D29:K29"/>
    <mergeCell ref="L29:P29"/>
    <mergeCell ref="X28:AC28"/>
    <mergeCell ref="A6:AC6"/>
    <mergeCell ref="E26:K26"/>
    <mergeCell ref="A26:B26"/>
    <mergeCell ref="L26:AC26"/>
    <mergeCell ref="X27:AC27"/>
    <mergeCell ref="A11:AC11"/>
    <mergeCell ref="A9:AC9"/>
    <mergeCell ref="A10:AC10"/>
    <mergeCell ref="O25:W25"/>
    <mergeCell ref="A14:AC14"/>
    <mergeCell ref="C25:K25"/>
    <mergeCell ref="L25:N25"/>
    <mergeCell ref="O24:W24"/>
    <mergeCell ref="L24:N24"/>
    <mergeCell ref="D4:I4"/>
    <mergeCell ref="A4:B4"/>
    <mergeCell ref="A7:AC7"/>
    <mergeCell ref="D5:W5"/>
    <mergeCell ref="J4:W4"/>
    <mergeCell ref="A5:B5"/>
    <mergeCell ref="D3:I3"/>
    <mergeCell ref="A15:AC15"/>
    <mergeCell ref="X24:AC24"/>
    <mergeCell ref="A20:AC20"/>
    <mergeCell ref="A18:AC18"/>
    <mergeCell ref="A19:AC19"/>
    <mergeCell ref="C24:K24"/>
    <mergeCell ref="A16:AC16"/>
    <mergeCell ref="A22:AC22"/>
    <mergeCell ref="A21:AC21"/>
    <mergeCell ref="J3:W3"/>
    <mergeCell ref="A8:AC8"/>
    <mergeCell ref="A13:AC13"/>
    <mergeCell ref="A1:B1"/>
    <mergeCell ref="J2:W2"/>
    <mergeCell ref="A2:B2"/>
    <mergeCell ref="A3:B3"/>
    <mergeCell ref="D2:I2"/>
    <mergeCell ref="F1:M1"/>
    <mergeCell ref="N1:W1"/>
  </mergeCells>
  <phoneticPr fontId="2" type="noConversion"/>
  <pageMargins left="0.74803149606299213" right="0.39370078740157483" top="0.39370078740157483" bottom="0.39370078740157483" header="0.51181102362204722" footer="0.39370078740157483"/>
  <pageSetup paperSize="9" scale="82" orientation="portrait" verticalDpi="0" r:id="rId1"/>
  <headerFooter alignWithMargins="0">
    <oddFooter>&amp;R&amp;14&amp;P/&amp;N
&amp;6printed: 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D3" sqref="D3:I3"/>
    </sheetView>
  </sheetViews>
  <sheetFormatPr defaultRowHeight="14.25"/>
  <sheetData/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72</vt:i4>
      </vt:variant>
    </vt:vector>
  </HeadingPairs>
  <TitlesOfParts>
    <vt:vector size="74" baseType="lpstr">
      <vt:lpstr>PLM_Coversheet</vt:lpstr>
      <vt:lpstr>Sheet1</vt:lpstr>
      <vt:lpstr>PLM_Coversheet!Print_Area</vt:lpstr>
      <vt:lpstr>SAP_ApprovedBy</vt:lpstr>
      <vt:lpstr>SAP_ApprovedOn</vt:lpstr>
      <vt:lpstr>SAP_Area</vt:lpstr>
      <vt:lpstr>SAP_CheckedBy</vt:lpstr>
      <vt:lpstr>SAP_CheckedOn</vt:lpstr>
      <vt:lpstr>SAP_ConsortialPartner</vt:lpstr>
      <vt:lpstr>SAP_ConsortialPartnerNo</vt:lpstr>
      <vt:lpstr>SAP_ContractItemNo</vt:lpstr>
      <vt:lpstr>SAP_CountNo</vt:lpstr>
      <vt:lpstr>SAP_CreatedBy</vt:lpstr>
      <vt:lpstr>SAP_CreatedOn</vt:lpstr>
      <vt:lpstr>SAP_Customer</vt:lpstr>
      <vt:lpstr>SAP_CustomerDrawingNo</vt:lpstr>
      <vt:lpstr>SAP_CustomerProjectDescription</vt:lpstr>
      <vt:lpstr>SAP_CustomerRevisionNo</vt:lpstr>
      <vt:lpstr>SAP_DepartmentDescription</vt:lpstr>
      <vt:lpstr>SAP_DocType</vt:lpstr>
      <vt:lpstr>SAP_DocumentLanguage</vt:lpstr>
      <vt:lpstr>SAP_DocumentNo</vt:lpstr>
      <vt:lpstr>SAP_DocumentTypeText</vt:lpstr>
      <vt:lpstr>SAP_DocumentTypeTextPL</vt:lpstr>
      <vt:lpstr>SAP_EngineeringPackage</vt:lpstr>
      <vt:lpstr>SAP_EngPackText</vt:lpstr>
      <vt:lpstr>SAP_Equipment</vt:lpstr>
      <vt:lpstr>SAP_Mandator</vt:lpstr>
      <vt:lpstr>SAP_MassUnit</vt:lpstr>
      <vt:lpstr>SAP_Material</vt:lpstr>
      <vt:lpstr>SAP_NoOfSheets</vt:lpstr>
      <vt:lpstr>SAP_PartNo</vt:lpstr>
      <vt:lpstr>SAP_PlantCode</vt:lpstr>
      <vt:lpstr>SAP_ProjectCode</vt:lpstr>
      <vt:lpstr>SAP_projectDepartment</vt:lpstr>
      <vt:lpstr>SAP_ProjectProperty1</vt:lpstr>
      <vt:lpstr>SAP_ProjectProperty7</vt:lpstr>
      <vt:lpstr>SAP_ProjectProperty8</vt:lpstr>
      <vt:lpstr>SAP_ProjectProperty9</vt:lpstr>
      <vt:lpstr>SAP_RevisedBy</vt:lpstr>
      <vt:lpstr>SAP_RevisedOn</vt:lpstr>
      <vt:lpstr>SAP_RevisionApprovedBy</vt:lpstr>
      <vt:lpstr>SAP_RevisionDescription</vt:lpstr>
      <vt:lpstr>SAP_Scale1</vt:lpstr>
      <vt:lpstr>SAP_Scale2</vt:lpstr>
      <vt:lpstr>SAP_SecLevText</vt:lpstr>
      <vt:lpstr>SAP_SecurityLevel</vt:lpstr>
      <vt:lpstr>SAP_SheetFormat</vt:lpstr>
      <vt:lpstr>SAP_SheetNo</vt:lpstr>
      <vt:lpstr>SAP_Status</vt:lpstr>
      <vt:lpstr>SAP_SubGroup</vt:lpstr>
      <vt:lpstr>SAP_Supplier</vt:lpstr>
      <vt:lpstr>SAP_SupplierDocNo</vt:lpstr>
      <vt:lpstr>SAP_SupplyGroup</vt:lpstr>
      <vt:lpstr>SAP_SupplyGroupText</vt:lpstr>
      <vt:lpstr>SAP_SupplyGroupTextPL</vt:lpstr>
      <vt:lpstr>SAP_Title1</vt:lpstr>
      <vt:lpstr>SAP_Title1PL</vt:lpstr>
      <vt:lpstr>SAP_Title2</vt:lpstr>
      <vt:lpstr>SAP_Title2PL</vt:lpstr>
      <vt:lpstr>SAP_Title3</vt:lpstr>
      <vt:lpstr>SAP_Title3PL</vt:lpstr>
      <vt:lpstr>SAP_Title4</vt:lpstr>
      <vt:lpstr>SAP_Title4a</vt:lpstr>
      <vt:lpstr>SAP_Title4aPL</vt:lpstr>
      <vt:lpstr>SAP_Title4b</vt:lpstr>
      <vt:lpstr>SAP_Title4bPL</vt:lpstr>
      <vt:lpstr>SAP_Title4PL</vt:lpstr>
      <vt:lpstr>SAP_Title5</vt:lpstr>
      <vt:lpstr>SAP_Title5PL</vt:lpstr>
      <vt:lpstr>SAP_vaiCompany</vt:lpstr>
      <vt:lpstr>SAPTemp_RevisionNo</vt:lpstr>
      <vt:lpstr>SAPTemp_Title1</vt:lpstr>
      <vt:lpstr>SAPWrite_Mass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ACV0 CSA</dc:title>
  <dc:creator>Tkaczuk Rainer</dc:creator>
  <cp:lastModifiedBy>Rafetseder, Harald</cp:lastModifiedBy>
  <cp:lastPrinted>2006-10-05T06:58:05Z</cp:lastPrinted>
  <dcterms:created xsi:type="dcterms:W3CDTF">2006-10-05T06:50:29Z</dcterms:created>
  <dcterms:modified xsi:type="dcterms:W3CDTF">2012-08-02T10:36:57Z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rovedBy">
    <vt:lpwstr>
    </vt:lpwstr>
  </property>
  <property fmtid="{D5CDD505-2E9C-101B-9397-08002B2CF9AE}" pid="3" name="ApprovedOn">
    <vt:lpwstr>
    </vt:lpwstr>
  </property>
  <property fmtid="{D5CDD505-2E9C-101B-9397-08002B2CF9AE}" pid="4" name="Area">
    <vt:lpwstr>S</vt:lpwstr>
  </property>
  <property fmtid="{D5CDD505-2E9C-101B-9397-08002B2CF9AE}" pid="5" name="CheckedBy">
    <vt:lpwstr>
    </vt:lpwstr>
  </property>
  <property fmtid="{D5CDD505-2E9C-101B-9397-08002B2CF9AE}" pid="6" name="CheckedOn">
    <vt:lpwstr>
    </vt:lpwstr>
  </property>
  <property fmtid="{D5CDD505-2E9C-101B-9397-08002B2CF9AE}" pid="7" name="ConsortialPartner">
    <vt:lpwstr>
    </vt:lpwstr>
  </property>
  <property fmtid="{D5CDD505-2E9C-101B-9397-08002B2CF9AE}" pid="8" name="ConsortialPartnerNo">
    <vt:lpwstr>
    </vt:lpwstr>
  </property>
  <property fmtid="{D5CDD505-2E9C-101B-9397-08002B2CF9AE}" pid="9" name="ContractItemNo">
    <vt:lpwstr>
    </vt:lpwstr>
  </property>
  <property fmtid="{D5CDD505-2E9C-101B-9397-08002B2CF9AE}" pid="10" name="CountNo">
    <vt:lpwstr>
    </vt:lpwstr>
  </property>
  <property fmtid="{D5CDD505-2E9C-101B-9397-08002B2CF9AE}" pid="11" name="CreatedBy">
    <vt:lpwstr>
    </vt:lpwstr>
  </property>
  <property fmtid="{D5CDD505-2E9C-101B-9397-08002B2CF9AE}" pid="12" name="CreatedOn">
    <vt:lpwstr>
    </vt:lpwstr>
  </property>
  <property fmtid="{D5CDD505-2E9C-101B-9397-08002B2CF9AE}" pid="13" name="Customer">
    <vt:lpwstr>Thyssen Krupp Companhia Siderúrgica do Atlântico</vt:lpwstr>
  </property>
  <property fmtid="{D5CDD505-2E9C-101B-9397-08002B2CF9AE}" pid="14" name="CustomerDrawingNo">
    <vt:lpwstr>
    </vt:lpwstr>
  </property>
  <property fmtid="{D5CDD505-2E9C-101B-9397-08002B2CF9AE}" pid="15" name="CustomerProjectDescription">
    <vt:lpwstr>Steel Plant</vt:lpwstr>
  </property>
  <property fmtid="{D5CDD505-2E9C-101B-9397-08002B2CF9AE}" pid="16" name="DepartmentDescription">
    <vt:lpwstr>Plant Integration, Steelmaking &amp; Environmental Tech</vt:lpwstr>
  </property>
  <property fmtid="{D5CDD505-2E9C-101B-9397-08002B2CF9AE}" pid="17" name="DocType">
    <vt:lpwstr>
    </vt:lpwstr>
  </property>
  <property fmtid="{D5CDD505-2E9C-101B-9397-08002B2CF9AE}" pid="18" name="DocumentLanguage">
    <vt:lpwstr>EN</vt:lpwstr>
  </property>
  <property fmtid="{D5CDD505-2E9C-101B-9397-08002B2CF9AE}" pid="19" name="DocumentNo">
    <vt:lpwstr>
    </vt:lpwstr>
  </property>
  <property fmtid="{D5CDD505-2E9C-101B-9397-08002B2CF9AE}" pid="20" name="DocumentTypeText">
    <vt:lpwstr>Document Type</vt:lpwstr>
  </property>
  <property fmtid="{D5CDD505-2E9C-101B-9397-08002B2CF9AE}" pid="21" name="DocumentTypeTextPL">
    <vt:lpwstr>Tipo de Documento</vt:lpwstr>
  </property>
  <property fmtid="{D5CDD505-2E9C-101B-9397-08002B2CF9AE}" pid="22" name="EngineeringPackage">
    <vt:lpwstr>BD</vt:lpwstr>
  </property>
  <property fmtid="{D5CDD505-2E9C-101B-9397-08002B2CF9AE}" pid="23" name="EngPackText">
    <vt:lpwstr>Basic data</vt:lpwstr>
  </property>
  <property fmtid="{D5CDD505-2E9C-101B-9397-08002B2CF9AE}" pid="24" name="Equipment">
    <vt:lpwstr>S</vt:lpwstr>
  </property>
  <property fmtid="{D5CDD505-2E9C-101B-9397-08002B2CF9AE}" pid="25" name="Mandator">
    <vt:lpwstr>
    </vt:lpwstr>
  </property>
  <property fmtid="{D5CDD505-2E9C-101B-9397-08002B2CF9AE}" pid="26" name="Mass">
    <vt:lpwstr>
    </vt:lpwstr>
  </property>
  <property fmtid="{D5CDD505-2E9C-101B-9397-08002B2CF9AE}" pid="27" name="MassUnit">
    <vt:lpwstr>
    </vt:lpwstr>
  </property>
  <property fmtid="{D5CDD505-2E9C-101B-9397-08002B2CF9AE}" pid="28" name="Material">
    <vt:lpwstr>
    </vt:lpwstr>
  </property>
  <property fmtid="{D5CDD505-2E9C-101B-9397-08002B2CF9AE}" pid="29" name="NoOfSheets">
    <vt:lpwstr>
    </vt:lpwstr>
  </property>
  <property fmtid="{D5CDD505-2E9C-101B-9397-08002B2CF9AE}" pid="30" name="PartNo">
    <vt:lpwstr>
    </vt:lpwstr>
  </property>
  <property fmtid="{D5CDD505-2E9C-101B-9397-08002B2CF9AE}" pid="31" name="PlantCode">
    <vt:lpwstr>S</vt:lpwstr>
  </property>
  <property fmtid="{D5CDD505-2E9C-101B-9397-08002B2CF9AE}" pid="32" name="ProjectCode">
    <vt:lpwstr>C.ACV0</vt:lpwstr>
  </property>
  <property fmtid="{D5CDD505-2E9C-101B-9397-08002B2CF9AE}" pid="33" name="projectDepartment">
    <vt:lpwstr>ISS</vt:lpwstr>
  </property>
  <property fmtid="{D5CDD505-2E9C-101B-9397-08002B2CF9AE}" pid="34" name="ProjectProperty1">
    <vt:lpwstr>01.0</vt:lpwstr>
  </property>
  <property fmtid="{D5CDD505-2E9C-101B-9397-08002B2CF9AE}" pid="35" name="ProjectProperty8">
    <vt:lpwstr>
    </vt:lpwstr>
  </property>
  <property fmtid="{D5CDD505-2E9C-101B-9397-08002B2CF9AE}" pid="36" name="ProjectProperty9">
    <vt:lpwstr>
    </vt:lpwstr>
  </property>
  <property fmtid="{D5CDD505-2E9C-101B-9397-08002B2CF9AE}" pid="37" name="RevisedBy">
    <vt:lpwstr>
    </vt:lpwstr>
  </property>
  <property fmtid="{D5CDD505-2E9C-101B-9397-08002B2CF9AE}" pid="38" name="RevisedOn">
    <vt:lpwstr>
    </vt:lpwstr>
  </property>
  <property fmtid="{D5CDD505-2E9C-101B-9397-08002B2CF9AE}" pid="39" name="RevisionApprovedBy">
    <vt:lpwstr>
    </vt:lpwstr>
  </property>
  <property fmtid="{D5CDD505-2E9C-101B-9397-08002B2CF9AE}" pid="40" name="RevisionDescription">
    <vt:lpwstr>
    </vt:lpwstr>
  </property>
  <property fmtid="{D5CDD505-2E9C-101B-9397-08002B2CF9AE}" pid="41" name="RevisionNo">
    <vt:lpwstr>00</vt:lpwstr>
  </property>
  <property fmtid="{D5CDD505-2E9C-101B-9397-08002B2CF9AE}" pid="42" name="Scale1">
    <vt:lpwstr>
    </vt:lpwstr>
  </property>
  <property fmtid="{D5CDD505-2E9C-101B-9397-08002B2CF9AE}" pid="43" name="Scale2">
    <vt:lpwstr>
    </vt:lpwstr>
  </property>
  <property fmtid="{D5CDD505-2E9C-101B-9397-08002B2CF9AE}" pid="44" name="SecLevText">
    <vt:lpwstr>VAI Internal only</vt:lpwstr>
  </property>
  <property fmtid="{D5CDD505-2E9C-101B-9397-08002B2CF9AE}" pid="45" name="SectionNo">
    <vt:lpwstr>
    </vt:lpwstr>
  </property>
  <property fmtid="{D5CDD505-2E9C-101B-9397-08002B2CF9AE}" pid="46" name="SectionText">
    <vt:lpwstr>
    </vt:lpwstr>
  </property>
  <property fmtid="{D5CDD505-2E9C-101B-9397-08002B2CF9AE}" pid="47" name="SectionTextPL">
    <vt:lpwstr>
    </vt:lpwstr>
  </property>
  <property fmtid="{D5CDD505-2E9C-101B-9397-08002B2CF9AE}" pid="48" name="SecurityLevel">
    <vt:lpwstr>VV</vt:lpwstr>
  </property>
  <property fmtid="{D5CDD505-2E9C-101B-9397-08002B2CF9AE}" pid="49" name="SheetFormat">
    <vt:lpwstr>
    </vt:lpwstr>
  </property>
  <property fmtid="{D5CDD505-2E9C-101B-9397-08002B2CF9AE}" pid="50" name="SheetNo">
    <vt:lpwstr>
    </vt:lpwstr>
  </property>
  <property fmtid="{D5CDD505-2E9C-101B-9397-08002B2CF9AE}" pid="51" name="Status">
    <vt:lpwstr>Draft</vt:lpwstr>
  </property>
  <property fmtid="{D5CDD505-2E9C-101B-9397-08002B2CF9AE}" pid="52" name="SubGroup">
    <vt:lpwstr>
    </vt:lpwstr>
  </property>
  <property fmtid="{D5CDD505-2E9C-101B-9397-08002B2CF9AE}" pid="53" name="Supplier">
    <vt:lpwstr>
    </vt:lpwstr>
  </property>
  <property fmtid="{D5CDD505-2E9C-101B-9397-08002B2CF9AE}" pid="54" name="SupplierDocNo">
    <vt:lpwstr>
    </vt:lpwstr>
  </property>
  <property fmtid="{D5CDD505-2E9C-101B-9397-08002B2CF9AE}" pid="55" name="SupplyGroup">
    <vt:lpwstr>
    </vt:lpwstr>
  </property>
  <property fmtid="{D5CDD505-2E9C-101B-9397-08002B2CF9AE}" pid="56" name="SupplyGroupText">
    <vt:lpwstr>Supply Group</vt:lpwstr>
  </property>
  <property fmtid="{D5CDD505-2E9C-101B-9397-08002B2CF9AE}" pid="57" name="SupplyGroupTextPL">
    <vt:lpwstr>Grupo de Fornecimento</vt:lpwstr>
  </property>
  <property fmtid="{D5CDD505-2E9C-101B-9397-08002B2CF9AE}" pid="58" name="Title1">
    <vt:lpwstr>neuer Wert333</vt:lpwstr>
  </property>
  <property fmtid="{D5CDD505-2E9C-101B-9397-08002B2CF9AE}" pid="59" name="Title1PL">
    <vt:lpwstr>
    </vt:lpwstr>
  </property>
  <property fmtid="{D5CDD505-2E9C-101B-9397-08002B2CF9AE}" pid="60" name="Title2">
    <vt:lpwstr>2012-08-06 13:59:05.57</vt:lpwstr>
  </property>
  <property fmtid="{D5CDD505-2E9C-101B-9397-08002B2CF9AE}" pid="61" name="Title2PL">
    <vt:lpwstr>Planta</vt:lpwstr>
  </property>
  <property fmtid="{D5CDD505-2E9C-101B-9397-08002B2CF9AE}" pid="62" name="Title3">
    <vt:lpwstr>
    </vt:lpwstr>
  </property>
  <property fmtid="{D5CDD505-2E9C-101B-9397-08002B2CF9AE}" pid="63" name="Title3PL">
    <vt:lpwstr>
    </vt:lpwstr>
  </property>
  <property fmtid="{D5CDD505-2E9C-101B-9397-08002B2CF9AE}" pid="64" name="Title4">
    <vt:lpwstr>Equipment</vt:lpwstr>
  </property>
  <property fmtid="{D5CDD505-2E9C-101B-9397-08002B2CF9AE}" pid="65" name="Title4a">
    <vt:lpwstr>
    </vt:lpwstr>
  </property>
  <property fmtid="{D5CDD505-2E9C-101B-9397-08002B2CF9AE}" pid="66" name="Title4aPL">
    <vt:lpwstr>
    </vt:lpwstr>
  </property>
  <property fmtid="{D5CDD505-2E9C-101B-9397-08002B2CF9AE}" pid="67" name="Title4b">
    <vt:lpwstr>
    </vt:lpwstr>
  </property>
  <property fmtid="{D5CDD505-2E9C-101B-9397-08002B2CF9AE}" pid="68" name="Title4bPL">
    <vt:lpwstr>
    </vt:lpwstr>
  </property>
  <property fmtid="{D5CDD505-2E9C-101B-9397-08002B2CF9AE}" pid="69" name="Title4PL">
    <vt:lpwstr>Equipamento</vt:lpwstr>
  </property>
  <property fmtid="{D5CDD505-2E9C-101B-9397-08002B2CF9AE}" pid="70" name="Title5">
    <vt:lpwstr>
    </vt:lpwstr>
  </property>
  <property fmtid="{D5CDD505-2E9C-101B-9397-08002B2CF9AE}" pid="71" name="Title5PL">
    <vt:lpwstr>
    </vt:lpwstr>
  </property>
  <property fmtid="{D5CDD505-2E9C-101B-9397-08002B2CF9AE}" pid="72" name="vaiCompany">
    <vt:lpwstr>Siemens VAI Metals Technologies GmbH</vt:lpwstr>
  </property>
  <property fmtid="{D5CDD505-2E9C-101B-9397-08002B2CF9AE}" pid="73" name="VolumeNo">
    <vt:lpwstr>
    </vt:lpwstr>
  </property>
  <property fmtid="{D5CDD505-2E9C-101B-9397-08002B2CF9AE}" pid="74" name="VolumeText">
    <vt:lpwstr>
    </vt:lpwstr>
  </property>
  <property fmtid="{D5CDD505-2E9C-101B-9397-08002B2CF9AE}" pid="75" name="VolumeTextPL">
    <vt:lpwstr>
    </vt:lpwstr>
  </property>
  <property fmtid="{D5CDD505-2E9C-101B-9397-08002B2CF9AE}" pid="76" name="CustomerRevisionNo">
    <vt:lpwstr>0</vt:lpwstr>
  </property>
  <property fmtid="{D5CDD505-2E9C-101B-9397-08002B2CF9AE}" pid="77" name="ProjectProperty7">
    <vt:lpwstr>
    </vt:lpwstr>
  </property>
  <property fmtid="{D5CDD505-2E9C-101B-9397-08002B2CF9AE}" pid="78" name="mtBuilt">
    <vt:lpwstr>2010-07-01</vt:lpwstr>
  </property>
</Properties>
</file>